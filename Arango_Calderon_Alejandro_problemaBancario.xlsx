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os" sheetId="1" state="visible" r:id="rId3"/>
    <sheet name="Detalle_replicas" sheetId="2" state="visible" r:id="rId4"/>
    <sheet name="Promedio_por_caja" sheetId="3" state="visible" r:id="rId5"/>
    <sheet name="Usuarios_por_tipo" sheetId="4" state="visible" r:id="rId6"/>
    <sheet name="Decis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<sst xmlns="http://schemas.openxmlformats.org/spreadsheetml/2006/main" count="107" uniqueCount="60">
  <si>
    <t xml:space="preserve">PROBLEMA BANCARIO - PARÁMETROS DEL MODELO</t>
  </si>
  <si>
    <t xml:space="preserve">Tabla 1. Tipos de usuario, tiempos de servicio y de llegada (minutos)</t>
  </si>
  <si>
    <t xml:space="preserve">Tipo de acción</t>
  </si>
  <si>
    <t xml:space="preserve">Tipo de usuario</t>
  </si>
  <si>
    <t xml:space="preserve">Exp. uso del servicio (min)</t>
  </si>
  <si>
    <t xml:space="preserve">Exp. media de llegada (min)</t>
  </si>
  <si>
    <t xml:space="preserve">Retiro</t>
  </si>
  <si>
    <t xml:space="preserve">Rápido</t>
  </si>
  <si>
    <t xml:space="preserve">Normal</t>
  </si>
  <si>
    <t xml:space="preserve">Lento</t>
  </si>
  <si>
    <t xml:space="preserve">Muy lento</t>
  </si>
  <si>
    <t xml:space="preserve">Consignación o pago</t>
  </si>
  <si>
    <t xml:space="preserve">Tabla 2. Probabilidad de cada tipo de usuario</t>
  </si>
  <si>
    <t xml:space="preserve">Probabilidad</t>
  </si>
  <si>
    <t xml:space="preserve">Supuestos del modelo</t>
  </si>
  <si>
    <t xml:space="preserve">70% de los usuarios hacen retiro; 30% consignación/pago</t>
  </si>
  <si>
    <t xml:space="preserve">Cada caja se modela como M/M/1 (un servidor, cola FIFO)</t>
  </si>
  <si>
    <t xml:space="preserve">Llegadas y servicios exponenciales; las 3 cajas son independientes</t>
  </si>
  <si>
    <t xml:space="preserve">Jornada (min/día)</t>
  </si>
  <si>
    <t xml:space="preserve">Número de cajas</t>
  </si>
  <si>
    <t xml:space="preserve">Réplicas ejecutadas</t>
  </si>
  <si>
    <t xml:space="preserve">Media global entre llegadas (min)</t>
  </si>
  <si>
    <t xml:space="preserve">Tiempo medio de servicio global E[S] (min)</t>
  </si>
  <si>
    <t xml:space="preserve">RESULTADOS POR RÉPLICA Y CAJA (10 corridas)</t>
  </si>
  <si>
    <t xml:space="preserve">Replica</t>
  </si>
  <si>
    <t xml:space="preserve">Caja</t>
  </si>
  <si>
    <t xml:space="preserve">Clientes</t>
  </si>
  <si>
    <t xml:space="preserve">T_espera_prom</t>
  </si>
  <si>
    <t xml:space="preserve">T_servicio_prom</t>
  </si>
  <si>
    <t xml:space="preserve">T_sistema_prom</t>
  </si>
  <si>
    <t xml:space="preserve">Rapido</t>
  </si>
  <si>
    <t xml:space="preserve">Retiros</t>
  </si>
  <si>
    <t xml:space="preserve">Pagos</t>
  </si>
  <si>
    <t xml:space="preserve">PROMEDIO POR CAJA (todas las réplicas)</t>
  </si>
  <si>
    <t xml:space="preserve">Caja con MENOR tiempo promedio de atención: Caja 1 (6.07 min)</t>
  </si>
  <si>
    <t xml:space="preserve">Caja con MAYOR tiempo promedio de atención: Caja 2 (9.26 min)</t>
  </si>
  <si>
    <t xml:space="preserve">USUARIOS POR TIPO EN CADA RÉPLICA (3 cajas)</t>
  </si>
  <si>
    <t xml:space="preserve">Total réplica</t>
  </si>
  <si>
    <t xml:space="preserve">TOTAL</t>
  </si>
  <si>
    <t xml:space="preserve">PROMEDIO</t>
  </si>
  <si>
    <t xml:space="preserve">Réplica con MENOR número de usuarios: réplica 4 (232 usuarios)</t>
  </si>
  <si>
    <t xml:space="preserve">ANÁLISIS DE DECISIÓN (M/M/1)</t>
  </si>
  <si>
    <t xml:space="preserve">Punto 4. ¿Se requiere una nueva caja?</t>
  </si>
  <si>
    <t xml:space="preserve">Configuración</t>
  </si>
  <si>
    <t xml:space="preserve">λ por caja (1/min)</t>
  </si>
  <si>
    <t xml:space="preserve">ρ (utilización)</t>
  </si>
  <si>
    <t xml:space="preserve">Wq cola (min)</t>
  </si>
  <si>
    <t xml:space="preserve">W sistema (min)</t>
  </si>
  <si>
    <t xml:space="preserve">Actual: 3 cajas mixtas</t>
  </si>
  <si>
    <t xml:space="preserve">Hipótesis: 4 cajas mixtas</t>
  </si>
  <si>
    <t xml:space="preserve">Con ρ≈0.54 y Wq≈3.8 min las 3 cajas operan estables; una 4ª caja sólo baja la espera ~1.6 min. No se justifica una nueva caja.</t>
  </si>
  <si>
    <t xml:space="preserve">Punto 5. Especialización: cajas exclusivas (simulación, 10 réplicas)</t>
  </si>
  <si>
    <t xml:space="preserve">Escenario</t>
  </si>
  <si>
    <t xml:space="preserve">Wq retiro (min)</t>
  </si>
  <si>
    <t xml:space="preserve">W retiro (min)</t>
  </si>
  <si>
    <t xml:space="preserve">Wq pago (min)</t>
  </si>
  <si>
    <t xml:space="preserve">W pago (min)</t>
  </si>
  <si>
    <t xml:space="preserve">2 retiros + 1 pago</t>
  </si>
  <si>
    <t xml:space="preserve">1 retiro + 2 pagos</t>
  </si>
  <si>
    <t xml:space="preserve">Recomendación: 1 caja exclusiva para RETIROS y 2 para PAGOS. Los pagos tienen servicio más largo (E[S]=5.2 vs 2.34 min); darles 2 cajas evita el cuello de botella que aparece al dejar pagos con una sola caja.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</si>
</sst>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General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4" min="3" style="0" width="2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n">
        <v>1</v>
      </c>
      <c r="D5" s="5" t="n">
        <v>1</v>
      </c>
    </row>
    <row r="6" customFormat="false" ht="15" hidden="false" customHeight="false" outlineLevel="0" collapsed="false">
      <c r="A6" s="4" t="s">
        <v>6</v>
      </c>
      <c r="B6" s="4" t="s">
        <v>8</v>
      </c>
      <c r="C6" s="5" t="n">
        <v>2</v>
      </c>
      <c r="D6" s="5" t="n">
        <v>2</v>
      </c>
    </row>
    <row r="7" customFormat="false" ht="15" hidden="false" customHeight="false" outlineLevel="0" collapsed="false">
      <c r="A7" s="4" t="s">
        <v>6</v>
      </c>
      <c r="B7" s="4" t="s">
        <v>9</v>
      </c>
      <c r="C7" s="5" t="n">
        <v>3</v>
      </c>
      <c r="D7" s="5" t="n">
        <v>3</v>
      </c>
    </row>
    <row r="8" customFormat="false" ht="15" hidden="false" customHeight="false" outlineLevel="0" collapsed="false">
      <c r="A8" s="4" t="s">
        <v>6</v>
      </c>
      <c r="B8" s="4" t="s">
        <v>10</v>
      </c>
      <c r="C8" s="5" t="n">
        <v>4</v>
      </c>
      <c r="D8" s="5" t="n">
        <v>3</v>
      </c>
    </row>
    <row r="9" customFormat="false" ht="15" hidden="false" customHeight="false" outlineLevel="0" collapsed="false">
      <c r="A9" s="4" t="s">
        <v>11</v>
      </c>
      <c r="B9" s="4" t="s">
        <v>7</v>
      </c>
      <c r="C9" s="5" t="n">
        <v>3</v>
      </c>
      <c r="D9" s="5" t="n">
        <v>1</v>
      </c>
    </row>
    <row r="10" customFormat="false" ht="15" hidden="false" customHeight="false" outlineLevel="0" collapsed="false">
      <c r="A10" s="4" t="s">
        <v>11</v>
      </c>
      <c r="B10" s="4" t="s">
        <v>8</v>
      </c>
      <c r="C10" s="5" t="n">
        <v>3</v>
      </c>
      <c r="D10" s="5" t="n">
        <v>2</v>
      </c>
    </row>
    <row r="11" customFormat="false" ht="15" hidden="false" customHeight="false" outlineLevel="0" collapsed="false">
      <c r="A11" s="4" t="s">
        <v>11</v>
      </c>
      <c r="B11" s="4" t="s">
        <v>9</v>
      </c>
      <c r="C11" s="5" t="n">
        <v>5</v>
      </c>
      <c r="D11" s="5" t="n">
        <v>3</v>
      </c>
    </row>
    <row r="12" customFormat="false" ht="15" hidden="false" customHeight="false" outlineLevel="0" collapsed="false">
      <c r="A12" s="4" t="s">
        <v>11</v>
      </c>
      <c r="B12" s="4" t="s">
        <v>10</v>
      </c>
      <c r="C12" s="5" t="n">
        <v>7</v>
      </c>
      <c r="D12" s="5" t="n">
        <v>4</v>
      </c>
    </row>
    <row r="14" customFormat="false" ht="1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3" t="s">
        <v>2</v>
      </c>
      <c r="B15" s="3" t="s">
        <v>3</v>
      </c>
      <c r="C15" s="3" t="s">
        <v>13</v>
      </c>
    </row>
    <row r="16" customFormat="false" ht="15" hidden="false" customHeight="false" outlineLevel="0" collapsed="false">
      <c r="A16" s="4" t="s">
        <v>6</v>
      </c>
      <c r="B16" s="4" t="s">
        <v>7</v>
      </c>
      <c r="C16" s="6" t="n">
        <v>0.23</v>
      </c>
    </row>
    <row r="17" customFormat="false" ht="15" hidden="false" customHeight="false" outlineLevel="0" collapsed="false">
      <c r="A17" s="4" t="s">
        <v>6</v>
      </c>
      <c r="B17" s="4" t="s">
        <v>8</v>
      </c>
      <c r="C17" s="6" t="n">
        <v>0.4</v>
      </c>
    </row>
    <row r="18" customFormat="false" ht="15" hidden="false" customHeight="false" outlineLevel="0" collapsed="false">
      <c r="A18" s="4" t="s">
        <v>6</v>
      </c>
      <c r="B18" s="4" t="s">
        <v>9</v>
      </c>
      <c r="C18" s="6" t="n">
        <v>0.17</v>
      </c>
    </row>
    <row r="19" customFormat="false" ht="15" hidden="false" customHeight="false" outlineLevel="0" collapsed="false">
      <c r="A19" s="4" t="s">
        <v>6</v>
      </c>
      <c r="B19" s="4" t="s">
        <v>10</v>
      </c>
      <c r="C19" s="6" t="n">
        <v>0.2</v>
      </c>
    </row>
    <row r="20" customFormat="false" ht="15" hidden="false" customHeight="false" outlineLevel="0" collapsed="false">
      <c r="A20" s="4" t="s">
        <v>11</v>
      </c>
      <c r="B20" s="4" t="s">
        <v>7</v>
      </c>
      <c r="C20" s="6" t="n">
        <v>0.1</v>
      </c>
    </row>
    <row r="21" customFormat="false" ht="15" hidden="false" customHeight="false" outlineLevel="0" collapsed="false">
      <c r="A21" s="4" t="s">
        <v>11</v>
      </c>
      <c r="B21" s="4" t="s">
        <v>8</v>
      </c>
      <c r="C21" s="6" t="n">
        <v>0.2</v>
      </c>
    </row>
    <row r="22" customFormat="false" ht="15" hidden="false" customHeight="false" outlineLevel="0" collapsed="false">
      <c r="A22" s="4" t="s">
        <v>11</v>
      </c>
      <c r="B22" s="4" t="s">
        <v>9</v>
      </c>
      <c r="C22" s="6" t="n">
        <v>0.3</v>
      </c>
    </row>
    <row r="23" customFormat="false" ht="15" hidden="false" customHeight="false" outlineLevel="0" collapsed="false">
      <c r="A23" s="4" t="s">
        <v>11</v>
      </c>
      <c r="B23" s="4" t="s">
        <v>10</v>
      </c>
      <c r="C23" s="6" t="n">
        <v>0.4</v>
      </c>
    </row>
    <row r="25" customFormat="false" ht="15" hidden="false" customHeight="false" outlineLevel="0" collapsed="false">
      <c r="A25" s="2" t="s">
        <v>14</v>
      </c>
    </row>
    <row r="26" customFormat="false" ht="15" hidden="false" customHeight="false" outlineLevel="0" collapsed="false">
      <c r="A26" s="7" t="s">
        <v>15</v>
      </c>
      <c r="C26" s="8"/>
    </row>
    <row r="27" customFormat="false" ht="15" hidden="false" customHeight="false" outlineLevel="0" collapsed="false">
      <c r="A27" s="7" t="s">
        <v>16</v>
      </c>
      <c r="C27" s="8"/>
    </row>
    <row r="28" customFormat="false" ht="15" hidden="false" customHeight="false" outlineLevel="0" collapsed="false">
      <c r="A28" s="7" t="s">
        <v>17</v>
      </c>
      <c r="C28" s="8"/>
    </row>
    <row r="29" customFormat="false" ht="15" hidden="false" customHeight="false" outlineLevel="0" collapsed="false">
      <c r="A29" s="7" t="s">
        <v>18</v>
      </c>
      <c r="C29" s="8" t="n">
        <v>480</v>
      </c>
    </row>
    <row r="30" customFormat="false" ht="15" hidden="false" customHeight="false" outlineLevel="0" collapsed="false">
      <c r="A30" s="7" t="s">
        <v>19</v>
      </c>
      <c r="C30" s="8" t="n">
        <v>3</v>
      </c>
    </row>
    <row r="31" customFormat="false" ht="15" hidden="false" customHeight="false" outlineLevel="0" collapsed="false">
      <c r="A31" s="7" t="s">
        <v>20</v>
      </c>
      <c r="C31" s="8" t="n">
        <v>10</v>
      </c>
    </row>
    <row r="32" customFormat="false" ht="15" hidden="false" customHeight="false" outlineLevel="0" collapsed="false">
      <c r="A32" s="7" t="s">
        <v>21</v>
      </c>
      <c r="C32" s="8" t="n">
        <v>1.9711</v>
      </c>
    </row>
    <row r="33" customFormat="false" ht="15" hidden="false" customHeight="false" outlineLevel="0" collapsed="false">
      <c r="A33" s="7" t="s">
        <v>22</v>
      </c>
      <c r="C33" s="8" t="n">
        <v>3.198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3"/>
  </cols>
  <sheetData>
    <row r="1" customFormat="false" ht="17.35" hidden="false" customHeight="false" outlineLevel="0" collapsed="false">
      <c r="A1" s="1" t="s">
        <v>23</v>
      </c>
    </row>
    <row r="3" customFormat="false" ht="26.85" hidden="false" customHeight="fals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8</v>
      </c>
      <c r="I3" s="3" t="s">
        <v>9</v>
      </c>
      <c r="J3" s="3" t="s">
        <v>10</v>
      </c>
      <c r="K3" s="3" t="s">
        <v>31</v>
      </c>
      <c r="L3" s="3" t="s">
        <v>32</v>
      </c>
    </row>
    <row r="4" customFormat="false" ht="15" hidden="false" customHeight="false" outlineLevel="0" collapsed="false">
      <c r="A4" s="9" t="n">
        <v>1</v>
      </c>
      <c r="B4" s="9" t="n">
        <v>1</v>
      </c>
      <c r="C4" s="9" t="n">
        <v>95</v>
      </c>
      <c r="D4" s="9" t="n">
        <v>2.89</v>
      </c>
      <c r="E4" s="9" t="n">
        <v>2.857</v>
      </c>
      <c r="F4" s="9" t="n">
        <v>5.747</v>
      </c>
      <c r="G4" s="9" t="n">
        <v>22</v>
      </c>
      <c r="H4" s="9" t="n">
        <v>25</v>
      </c>
      <c r="I4" s="9" t="n">
        <v>22</v>
      </c>
      <c r="J4" s="9" t="n">
        <v>26</v>
      </c>
      <c r="K4" s="9" t="n">
        <v>63</v>
      </c>
      <c r="L4" s="9" t="n">
        <v>32</v>
      </c>
    </row>
    <row r="5" customFormat="false" ht="15" hidden="false" customHeight="false" outlineLevel="0" collapsed="false">
      <c r="A5" s="10" t="n">
        <v>1</v>
      </c>
      <c r="B5" s="10" t="n">
        <v>2</v>
      </c>
      <c r="C5" s="10" t="n">
        <v>82</v>
      </c>
      <c r="D5" s="10" t="n">
        <v>6.465</v>
      </c>
      <c r="E5" s="10" t="n">
        <v>3.463</v>
      </c>
      <c r="F5" s="10" t="n">
        <v>9.928</v>
      </c>
      <c r="G5" s="10" t="n">
        <v>19</v>
      </c>
      <c r="H5" s="10" t="n">
        <v>24</v>
      </c>
      <c r="I5" s="10" t="n">
        <v>15</v>
      </c>
      <c r="J5" s="10" t="n">
        <v>24</v>
      </c>
      <c r="K5" s="10" t="n">
        <v>54</v>
      </c>
      <c r="L5" s="10" t="n">
        <v>28</v>
      </c>
    </row>
    <row r="6" customFormat="false" ht="15" hidden="false" customHeight="false" outlineLevel="0" collapsed="false">
      <c r="A6" s="9" t="n">
        <v>1</v>
      </c>
      <c r="B6" s="9" t="n">
        <v>3</v>
      </c>
      <c r="C6" s="9" t="n">
        <v>88</v>
      </c>
      <c r="D6" s="9" t="n">
        <v>3.052</v>
      </c>
      <c r="E6" s="9" t="n">
        <v>2.978</v>
      </c>
      <c r="F6" s="9" t="n">
        <v>6.03</v>
      </c>
      <c r="G6" s="9" t="n">
        <v>14</v>
      </c>
      <c r="H6" s="9" t="n">
        <v>38</v>
      </c>
      <c r="I6" s="9" t="n">
        <v>21</v>
      </c>
      <c r="J6" s="9" t="n">
        <v>15</v>
      </c>
      <c r="K6" s="9" t="n">
        <v>69</v>
      </c>
      <c r="L6" s="9" t="n">
        <v>19</v>
      </c>
    </row>
    <row r="7" customFormat="false" ht="15" hidden="false" customHeight="false" outlineLevel="0" collapsed="false">
      <c r="A7" s="10" t="n">
        <v>2</v>
      </c>
      <c r="B7" s="10" t="n">
        <v>1</v>
      </c>
      <c r="C7" s="10" t="n">
        <v>81</v>
      </c>
      <c r="D7" s="10" t="n">
        <v>5.199</v>
      </c>
      <c r="E7" s="10" t="n">
        <v>3.291</v>
      </c>
      <c r="F7" s="10" t="n">
        <v>8.49</v>
      </c>
      <c r="G7" s="10" t="n">
        <v>11</v>
      </c>
      <c r="H7" s="10" t="n">
        <v>43</v>
      </c>
      <c r="I7" s="10" t="n">
        <v>15</v>
      </c>
      <c r="J7" s="10" t="n">
        <v>12</v>
      </c>
      <c r="K7" s="10" t="n">
        <v>62</v>
      </c>
      <c r="L7" s="10" t="n">
        <v>19</v>
      </c>
    </row>
    <row r="8" customFormat="false" ht="15" hidden="false" customHeight="false" outlineLevel="0" collapsed="false">
      <c r="A8" s="9" t="n">
        <v>2</v>
      </c>
      <c r="B8" s="9" t="n">
        <v>2</v>
      </c>
      <c r="C8" s="9" t="n">
        <v>87</v>
      </c>
      <c r="D8" s="9" t="n">
        <v>15.625</v>
      </c>
      <c r="E8" s="9" t="n">
        <v>4.51</v>
      </c>
      <c r="F8" s="9" t="n">
        <v>20.135</v>
      </c>
      <c r="G8" s="9" t="n">
        <v>19</v>
      </c>
      <c r="H8" s="9" t="n">
        <v>30</v>
      </c>
      <c r="I8" s="9" t="n">
        <v>18</v>
      </c>
      <c r="J8" s="9" t="n">
        <v>20</v>
      </c>
      <c r="K8" s="9" t="n">
        <v>60</v>
      </c>
      <c r="L8" s="9" t="n">
        <v>27</v>
      </c>
    </row>
    <row r="9" customFormat="false" ht="15" hidden="false" customHeight="false" outlineLevel="0" collapsed="false">
      <c r="A9" s="10" t="n">
        <v>2</v>
      </c>
      <c r="B9" s="10" t="n">
        <v>3</v>
      </c>
      <c r="C9" s="10" t="n">
        <v>72</v>
      </c>
      <c r="D9" s="10" t="n">
        <v>3.091</v>
      </c>
      <c r="E9" s="10" t="n">
        <v>3.472</v>
      </c>
      <c r="F9" s="10" t="n">
        <v>6.563</v>
      </c>
      <c r="G9" s="10" t="n">
        <v>12</v>
      </c>
      <c r="H9" s="10" t="n">
        <v>25</v>
      </c>
      <c r="I9" s="10" t="n">
        <v>18</v>
      </c>
      <c r="J9" s="10" t="n">
        <v>17</v>
      </c>
      <c r="K9" s="10" t="n">
        <v>50</v>
      </c>
      <c r="L9" s="10" t="n">
        <v>22</v>
      </c>
    </row>
    <row r="10" customFormat="false" ht="15" hidden="false" customHeight="false" outlineLevel="0" collapsed="false">
      <c r="A10" s="9" t="n">
        <v>3</v>
      </c>
      <c r="B10" s="9" t="n">
        <v>1</v>
      </c>
      <c r="C10" s="9" t="n">
        <v>93</v>
      </c>
      <c r="D10" s="9" t="n">
        <v>2.4</v>
      </c>
      <c r="E10" s="9" t="n">
        <v>3.027</v>
      </c>
      <c r="F10" s="9" t="n">
        <v>5.426</v>
      </c>
      <c r="G10" s="9" t="n">
        <v>25</v>
      </c>
      <c r="H10" s="9" t="n">
        <v>29</v>
      </c>
      <c r="I10" s="9" t="n">
        <v>16</v>
      </c>
      <c r="J10" s="9" t="n">
        <v>23</v>
      </c>
      <c r="K10" s="9" t="n">
        <v>65</v>
      </c>
      <c r="L10" s="9" t="n">
        <v>28</v>
      </c>
    </row>
    <row r="11" customFormat="false" ht="15" hidden="false" customHeight="false" outlineLevel="0" collapsed="false">
      <c r="A11" s="10" t="n">
        <v>3</v>
      </c>
      <c r="B11" s="10" t="n">
        <v>2</v>
      </c>
      <c r="C11" s="10" t="n">
        <v>83</v>
      </c>
      <c r="D11" s="10" t="n">
        <v>2.652</v>
      </c>
      <c r="E11" s="10" t="n">
        <v>3.198</v>
      </c>
      <c r="F11" s="10" t="n">
        <v>5.85</v>
      </c>
      <c r="G11" s="10" t="n">
        <v>17</v>
      </c>
      <c r="H11" s="10" t="n">
        <v>26</v>
      </c>
      <c r="I11" s="10" t="n">
        <v>15</v>
      </c>
      <c r="J11" s="10" t="n">
        <v>25</v>
      </c>
      <c r="K11" s="10" t="n">
        <v>53</v>
      </c>
      <c r="L11" s="10" t="n">
        <v>30</v>
      </c>
    </row>
    <row r="12" customFormat="false" ht="15" hidden="false" customHeight="false" outlineLevel="0" collapsed="false">
      <c r="A12" s="9" t="n">
        <v>3</v>
      </c>
      <c r="B12" s="9" t="n">
        <v>3</v>
      </c>
      <c r="C12" s="9" t="n">
        <v>75</v>
      </c>
      <c r="D12" s="9" t="n">
        <v>12.004</v>
      </c>
      <c r="E12" s="9" t="n">
        <v>4.606</v>
      </c>
      <c r="F12" s="9" t="n">
        <v>16.61</v>
      </c>
      <c r="G12" s="9" t="n">
        <v>12</v>
      </c>
      <c r="H12" s="9" t="n">
        <v>29</v>
      </c>
      <c r="I12" s="9" t="n">
        <v>6</v>
      </c>
      <c r="J12" s="9" t="n">
        <v>28</v>
      </c>
      <c r="K12" s="9" t="n">
        <v>52</v>
      </c>
      <c r="L12" s="9" t="n">
        <v>23</v>
      </c>
    </row>
    <row r="13" customFormat="false" ht="15" hidden="false" customHeight="false" outlineLevel="0" collapsed="false">
      <c r="A13" s="10" t="n">
        <v>4</v>
      </c>
      <c r="B13" s="10" t="n">
        <v>1</v>
      </c>
      <c r="C13" s="10" t="n">
        <v>81</v>
      </c>
      <c r="D13" s="10" t="n">
        <v>3.07</v>
      </c>
      <c r="E13" s="10" t="n">
        <v>2.482</v>
      </c>
      <c r="F13" s="10" t="n">
        <v>5.553</v>
      </c>
      <c r="G13" s="10" t="n">
        <v>19</v>
      </c>
      <c r="H13" s="10" t="n">
        <v>32</v>
      </c>
      <c r="I13" s="10" t="n">
        <v>17</v>
      </c>
      <c r="J13" s="10" t="n">
        <v>13</v>
      </c>
      <c r="K13" s="10" t="n">
        <v>58</v>
      </c>
      <c r="L13" s="10" t="n">
        <v>23</v>
      </c>
    </row>
    <row r="14" customFormat="false" ht="15" hidden="false" customHeight="false" outlineLevel="0" collapsed="false">
      <c r="A14" s="9" t="n">
        <v>4</v>
      </c>
      <c r="B14" s="9" t="n">
        <v>2</v>
      </c>
      <c r="C14" s="9" t="n">
        <v>82</v>
      </c>
      <c r="D14" s="9" t="n">
        <v>4.167</v>
      </c>
      <c r="E14" s="9" t="n">
        <v>2.976</v>
      </c>
      <c r="F14" s="9" t="n">
        <v>7.144</v>
      </c>
      <c r="G14" s="9" t="n">
        <v>18</v>
      </c>
      <c r="H14" s="9" t="n">
        <v>21</v>
      </c>
      <c r="I14" s="9" t="n">
        <v>19</v>
      </c>
      <c r="J14" s="9" t="n">
        <v>24</v>
      </c>
      <c r="K14" s="9" t="n">
        <v>56</v>
      </c>
      <c r="L14" s="9" t="n">
        <v>26</v>
      </c>
    </row>
    <row r="15" customFormat="false" ht="15" hidden="false" customHeight="false" outlineLevel="0" collapsed="false">
      <c r="A15" s="10" t="n">
        <v>4</v>
      </c>
      <c r="B15" s="10" t="n">
        <v>3</v>
      </c>
      <c r="C15" s="10" t="n">
        <v>69</v>
      </c>
      <c r="D15" s="10" t="n">
        <v>6.851</v>
      </c>
      <c r="E15" s="10" t="n">
        <v>3.883</v>
      </c>
      <c r="F15" s="10" t="n">
        <v>10.733</v>
      </c>
      <c r="G15" s="10" t="n">
        <v>13</v>
      </c>
      <c r="H15" s="10" t="n">
        <v>24</v>
      </c>
      <c r="I15" s="10" t="n">
        <v>8</v>
      </c>
      <c r="J15" s="10" t="n">
        <v>24</v>
      </c>
      <c r="K15" s="10" t="n">
        <v>45</v>
      </c>
      <c r="L15" s="10" t="n">
        <v>24</v>
      </c>
    </row>
    <row r="16" customFormat="false" ht="15" hidden="false" customHeight="false" outlineLevel="0" collapsed="false">
      <c r="A16" s="9" t="n">
        <v>5</v>
      </c>
      <c r="B16" s="9" t="n">
        <v>1</v>
      </c>
      <c r="C16" s="9" t="n">
        <v>86</v>
      </c>
      <c r="D16" s="9" t="n">
        <v>1.997</v>
      </c>
      <c r="E16" s="9" t="n">
        <v>2.793</v>
      </c>
      <c r="F16" s="9" t="n">
        <v>4.79</v>
      </c>
      <c r="G16" s="9" t="n">
        <v>18</v>
      </c>
      <c r="H16" s="9" t="n">
        <v>31</v>
      </c>
      <c r="I16" s="9" t="n">
        <v>16</v>
      </c>
      <c r="J16" s="9" t="n">
        <v>21</v>
      </c>
      <c r="K16" s="9" t="n">
        <v>55</v>
      </c>
      <c r="L16" s="9" t="n">
        <v>31</v>
      </c>
    </row>
    <row r="17" customFormat="false" ht="15" hidden="false" customHeight="false" outlineLevel="0" collapsed="false">
      <c r="A17" s="10" t="n">
        <v>5</v>
      </c>
      <c r="B17" s="10" t="n">
        <v>2</v>
      </c>
      <c r="C17" s="10" t="n">
        <v>85</v>
      </c>
      <c r="D17" s="10" t="n">
        <v>3.44</v>
      </c>
      <c r="E17" s="10" t="n">
        <v>3.023</v>
      </c>
      <c r="F17" s="10" t="n">
        <v>6.463</v>
      </c>
      <c r="G17" s="10" t="n">
        <v>16</v>
      </c>
      <c r="H17" s="10" t="n">
        <v>30</v>
      </c>
      <c r="I17" s="10" t="n">
        <v>18</v>
      </c>
      <c r="J17" s="10" t="n">
        <v>21</v>
      </c>
      <c r="K17" s="10" t="n">
        <v>60</v>
      </c>
      <c r="L17" s="10" t="n">
        <v>25</v>
      </c>
    </row>
    <row r="18" customFormat="false" ht="15" hidden="false" customHeight="false" outlineLevel="0" collapsed="false">
      <c r="A18" s="9" t="n">
        <v>5</v>
      </c>
      <c r="B18" s="9" t="n">
        <v>3</v>
      </c>
      <c r="C18" s="9" t="n">
        <v>94</v>
      </c>
      <c r="D18" s="9" t="n">
        <v>9.052</v>
      </c>
      <c r="E18" s="9" t="n">
        <v>3.724</v>
      </c>
      <c r="F18" s="9" t="n">
        <v>12.776</v>
      </c>
      <c r="G18" s="9" t="n">
        <v>16</v>
      </c>
      <c r="H18" s="9" t="n">
        <v>32</v>
      </c>
      <c r="I18" s="9" t="n">
        <v>28</v>
      </c>
      <c r="J18" s="9" t="n">
        <v>18</v>
      </c>
      <c r="K18" s="9" t="n">
        <v>64</v>
      </c>
      <c r="L18" s="9" t="n">
        <v>30</v>
      </c>
    </row>
    <row r="19" customFormat="false" ht="15" hidden="false" customHeight="false" outlineLevel="0" collapsed="false">
      <c r="A19" s="10" t="n">
        <v>6</v>
      </c>
      <c r="B19" s="10" t="n">
        <v>1</v>
      </c>
      <c r="C19" s="10" t="n">
        <v>81</v>
      </c>
      <c r="D19" s="10" t="n">
        <v>1.488</v>
      </c>
      <c r="E19" s="10" t="n">
        <v>2.814</v>
      </c>
      <c r="F19" s="10" t="n">
        <v>4.302</v>
      </c>
      <c r="G19" s="10" t="n">
        <v>20</v>
      </c>
      <c r="H19" s="10" t="n">
        <v>23</v>
      </c>
      <c r="I19" s="10" t="n">
        <v>19</v>
      </c>
      <c r="J19" s="10" t="n">
        <v>19</v>
      </c>
      <c r="K19" s="10" t="n">
        <v>55</v>
      </c>
      <c r="L19" s="10" t="n">
        <v>26</v>
      </c>
    </row>
    <row r="20" customFormat="false" ht="15" hidden="false" customHeight="false" outlineLevel="0" collapsed="false">
      <c r="A20" s="9" t="n">
        <v>6</v>
      </c>
      <c r="B20" s="9" t="n">
        <v>2</v>
      </c>
      <c r="C20" s="9" t="n">
        <v>81</v>
      </c>
      <c r="D20" s="9" t="n">
        <v>8.747</v>
      </c>
      <c r="E20" s="9" t="n">
        <v>4.095</v>
      </c>
      <c r="F20" s="9" t="n">
        <v>12.841</v>
      </c>
      <c r="G20" s="9" t="n">
        <v>14</v>
      </c>
      <c r="H20" s="9" t="n">
        <v>28</v>
      </c>
      <c r="I20" s="9" t="n">
        <v>17</v>
      </c>
      <c r="J20" s="9" t="n">
        <v>22</v>
      </c>
      <c r="K20" s="9" t="n">
        <v>54</v>
      </c>
      <c r="L20" s="9" t="n">
        <v>27</v>
      </c>
    </row>
    <row r="21" customFormat="false" ht="15" hidden="false" customHeight="false" outlineLevel="0" collapsed="false">
      <c r="A21" s="10" t="n">
        <v>6</v>
      </c>
      <c r="B21" s="10" t="n">
        <v>3</v>
      </c>
      <c r="C21" s="10" t="n">
        <v>81</v>
      </c>
      <c r="D21" s="10" t="n">
        <v>6.581</v>
      </c>
      <c r="E21" s="10" t="n">
        <v>3.772</v>
      </c>
      <c r="F21" s="10" t="n">
        <v>10.354</v>
      </c>
      <c r="G21" s="10" t="n">
        <v>10</v>
      </c>
      <c r="H21" s="10" t="n">
        <v>23</v>
      </c>
      <c r="I21" s="10" t="n">
        <v>28</v>
      </c>
      <c r="J21" s="10" t="n">
        <v>20</v>
      </c>
      <c r="K21" s="10" t="n">
        <v>54</v>
      </c>
      <c r="L21" s="10" t="n">
        <v>27</v>
      </c>
    </row>
    <row r="22" customFormat="false" ht="15" hidden="false" customHeight="false" outlineLevel="0" collapsed="false">
      <c r="A22" s="9" t="n">
        <v>7</v>
      </c>
      <c r="B22" s="9" t="n">
        <v>1</v>
      </c>
      <c r="C22" s="9" t="n">
        <v>80</v>
      </c>
      <c r="D22" s="9" t="n">
        <v>2.877</v>
      </c>
      <c r="E22" s="9" t="n">
        <v>3.146</v>
      </c>
      <c r="F22" s="9" t="n">
        <v>6.023</v>
      </c>
      <c r="G22" s="9" t="n">
        <v>15</v>
      </c>
      <c r="H22" s="9" t="n">
        <v>31</v>
      </c>
      <c r="I22" s="9" t="n">
        <v>19</v>
      </c>
      <c r="J22" s="9" t="n">
        <v>15</v>
      </c>
      <c r="K22" s="9" t="n">
        <v>59</v>
      </c>
      <c r="L22" s="9" t="n">
        <v>21</v>
      </c>
    </row>
    <row r="23" customFormat="false" ht="15" hidden="false" customHeight="false" outlineLevel="0" collapsed="false">
      <c r="A23" s="10" t="n">
        <v>7</v>
      </c>
      <c r="B23" s="10" t="n">
        <v>2</v>
      </c>
      <c r="C23" s="10" t="n">
        <v>86</v>
      </c>
      <c r="D23" s="10" t="n">
        <v>3.464</v>
      </c>
      <c r="E23" s="10" t="n">
        <v>3.103</v>
      </c>
      <c r="F23" s="10" t="n">
        <v>6.567</v>
      </c>
      <c r="G23" s="10" t="n">
        <v>20</v>
      </c>
      <c r="H23" s="10" t="n">
        <v>28</v>
      </c>
      <c r="I23" s="10" t="n">
        <v>17</v>
      </c>
      <c r="J23" s="10" t="n">
        <v>21</v>
      </c>
      <c r="K23" s="10" t="n">
        <v>62</v>
      </c>
      <c r="L23" s="10" t="n">
        <v>24</v>
      </c>
    </row>
    <row r="24" customFormat="false" ht="15" hidden="false" customHeight="false" outlineLevel="0" collapsed="false">
      <c r="A24" s="9" t="n">
        <v>7</v>
      </c>
      <c r="B24" s="9" t="n">
        <v>3</v>
      </c>
      <c r="C24" s="9" t="n">
        <v>67</v>
      </c>
      <c r="D24" s="9" t="n">
        <v>2.469</v>
      </c>
      <c r="E24" s="9" t="n">
        <v>3.279</v>
      </c>
      <c r="F24" s="9" t="n">
        <v>5.747</v>
      </c>
      <c r="G24" s="9" t="n">
        <v>10</v>
      </c>
      <c r="H24" s="9" t="n">
        <v>27</v>
      </c>
      <c r="I24" s="9" t="n">
        <v>10</v>
      </c>
      <c r="J24" s="9" t="n">
        <v>20</v>
      </c>
      <c r="K24" s="9" t="n">
        <v>51</v>
      </c>
      <c r="L24" s="9" t="n">
        <v>16</v>
      </c>
    </row>
    <row r="25" customFormat="false" ht="15" hidden="false" customHeight="false" outlineLevel="0" collapsed="false">
      <c r="A25" s="10" t="n">
        <v>8</v>
      </c>
      <c r="B25" s="10" t="n">
        <v>1</v>
      </c>
      <c r="C25" s="10" t="n">
        <v>89</v>
      </c>
      <c r="D25" s="10" t="n">
        <v>5.546</v>
      </c>
      <c r="E25" s="10" t="n">
        <v>3.379</v>
      </c>
      <c r="F25" s="10" t="n">
        <v>8.925</v>
      </c>
      <c r="G25" s="10" t="n">
        <v>13</v>
      </c>
      <c r="H25" s="10" t="n">
        <v>33</v>
      </c>
      <c r="I25" s="10" t="n">
        <v>23</v>
      </c>
      <c r="J25" s="10" t="n">
        <v>20</v>
      </c>
      <c r="K25" s="10" t="n">
        <v>63</v>
      </c>
      <c r="L25" s="10" t="n">
        <v>26</v>
      </c>
    </row>
    <row r="26" customFormat="false" ht="15" hidden="false" customHeight="false" outlineLevel="0" collapsed="false">
      <c r="A26" s="9" t="n">
        <v>8</v>
      </c>
      <c r="B26" s="9" t="n">
        <v>2</v>
      </c>
      <c r="C26" s="9" t="n">
        <v>78</v>
      </c>
      <c r="D26" s="9" t="n">
        <v>0.791</v>
      </c>
      <c r="E26" s="9" t="n">
        <v>2.286</v>
      </c>
      <c r="F26" s="9" t="n">
        <v>3.077</v>
      </c>
      <c r="G26" s="9" t="n">
        <v>15</v>
      </c>
      <c r="H26" s="9" t="n">
        <v>24</v>
      </c>
      <c r="I26" s="9" t="n">
        <v>19</v>
      </c>
      <c r="J26" s="9" t="n">
        <v>20</v>
      </c>
      <c r="K26" s="9" t="n">
        <v>52</v>
      </c>
      <c r="L26" s="9" t="n">
        <v>26</v>
      </c>
    </row>
    <row r="27" customFormat="false" ht="15" hidden="false" customHeight="false" outlineLevel="0" collapsed="false">
      <c r="A27" s="10" t="n">
        <v>8</v>
      </c>
      <c r="B27" s="10" t="n">
        <v>3</v>
      </c>
      <c r="C27" s="10" t="n">
        <v>96</v>
      </c>
      <c r="D27" s="10" t="n">
        <v>3.705</v>
      </c>
      <c r="E27" s="10" t="n">
        <v>2.851</v>
      </c>
      <c r="F27" s="10" t="n">
        <v>6.556</v>
      </c>
      <c r="G27" s="10" t="n">
        <v>14</v>
      </c>
      <c r="H27" s="10" t="n">
        <v>34</v>
      </c>
      <c r="I27" s="10" t="n">
        <v>28</v>
      </c>
      <c r="J27" s="10" t="n">
        <v>20</v>
      </c>
      <c r="K27" s="10" t="n">
        <v>63</v>
      </c>
      <c r="L27" s="10" t="n">
        <v>33</v>
      </c>
    </row>
    <row r="28" customFormat="false" ht="15" hidden="false" customHeight="false" outlineLevel="0" collapsed="false">
      <c r="A28" s="9" t="n">
        <v>9</v>
      </c>
      <c r="B28" s="9" t="n">
        <v>1</v>
      </c>
      <c r="C28" s="9" t="n">
        <v>83</v>
      </c>
      <c r="D28" s="9" t="n">
        <v>3.392</v>
      </c>
      <c r="E28" s="9" t="n">
        <v>2.591</v>
      </c>
      <c r="F28" s="9" t="n">
        <v>5.983</v>
      </c>
      <c r="G28" s="9" t="n">
        <v>15</v>
      </c>
      <c r="H28" s="9" t="n">
        <v>33</v>
      </c>
      <c r="I28" s="9" t="n">
        <v>17</v>
      </c>
      <c r="J28" s="9" t="n">
        <v>18</v>
      </c>
      <c r="K28" s="9" t="n">
        <v>63</v>
      </c>
      <c r="L28" s="9" t="n">
        <v>20</v>
      </c>
    </row>
    <row r="29" customFormat="false" ht="15" hidden="false" customHeight="false" outlineLevel="0" collapsed="false">
      <c r="A29" s="10" t="n">
        <v>9</v>
      </c>
      <c r="B29" s="10" t="n">
        <v>2</v>
      </c>
      <c r="C29" s="10" t="n">
        <v>83</v>
      </c>
      <c r="D29" s="10" t="n">
        <v>12.117</v>
      </c>
      <c r="E29" s="10" t="n">
        <v>3.886</v>
      </c>
      <c r="F29" s="10" t="n">
        <v>16.003</v>
      </c>
      <c r="G29" s="10" t="n">
        <v>16</v>
      </c>
      <c r="H29" s="10" t="n">
        <v>27</v>
      </c>
      <c r="I29" s="10" t="n">
        <v>15</v>
      </c>
      <c r="J29" s="10" t="n">
        <v>25</v>
      </c>
      <c r="K29" s="10" t="n">
        <v>61</v>
      </c>
      <c r="L29" s="10" t="n">
        <v>22</v>
      </c>
    </row>
    <row r="30" customFormat="false" ht="15" hidden="false" customHeight="false" outlineLevel="0" collapsed="false">
      <c r="A30" s="9" t="n">
        <v>9</v>
      </c>
      <c r="B30" s="9" t="n">
        <v>3</v>
      </c>
      <c r="C30" s="9" t="n">
        <v>74</v>
      </c>
      <c r="D30" s="9" t="n">
        <v>1.51</v>
      </c>
      <c r="E30" s="9" t="n">
        <v>2.777</v>
      </c>
      <c r="F30" s="9" t="n">
        <v>4.287</v>
      </c>
      <c r="G30" s="9" t="n">
        <v>14</v>
      </c>
      <c r="H30" s="9" t="n">
        <v>30</v>
      </c>
      <c r="I30" s="9" t="n">
        <v>16</v>
      </c>
      <c r="J30" s="9" t="n">
        <v>14</v>
      </c>
      <c r="K30" s="9" t="n">
        <v>60</v>
      </c>
      <c r="L30" s="9" t="n">
        <v>14</v>
      </c>
    </row>
    <row r="31" customFormat="false" ht="15" hidden="false" customHeight="false" outlineLevel="0" collapsed="false">
      <c r="A31" s="10" t="n">
        <v>10</v>
      </c>
      <c r="B31" s="10" t="n">
        <v>1</v>
      </c>
      <c r="C31" s="10" t="n">
        <v>85</v>
      </c>
      <c r="D31" s="10" t="n">
        <v>2.454</v>
      </c>
      <c r="E31" s="10" t="n">
        <v>3.02</v>
      </c>
      <c r="F31" s="10" t="n">
        <v>5.474</v>
      </c>
      <c r="G31" s="10" t="n">
        <v>21</v>
      </c>
      <c r="H31" s="10" t="n">
        <v>31</v>
      </c>
      <c r="I31" s="10" t="n">
        <v>12</v>
      </c>
      <c r="J31" s="10" t="n">
        <v>21</v>
      </c>
      <c r="K31" s="10" t="n">
        <v>59</v>
      </c>
      <c r="L31" s="10" t="n">
        <v>26</v>
      </c>
    </row>
    <row r="32" customFormat="false" ht="15" hidden="false" customHeight="false" outlineLevel="0" collapsed="false">
      <c r="A32" s="9" t="n">
        <v>10</v>
      </c>
      <c r="B32" s="9" t="n">
        <v>2</v>
      </c>
      <c r="C32" s="9" t="n">
        <v>68</v>
      </c>
      <c r="D32" s="9" t="n">
        <v>1.862</v>
      </c>
      <c r="E32" s="9" t="n">
        <v>2.722</v>
      </c>
      <c r="F32" s="9" t="n">
        <v>4.584</v>
      </c>
      <c r="G32" s="9" t="n">
        <v>12</v>
      </c>
      <c r="H32" s="9" t="n">
        <v>27</v>
      </c>
      <c r="I32" s="9" t="n">
        <v>16</v>
      </c>
      <c r="J32" s="9" t="n">
        <v>13</v>
      </c>
      <c r="K32" s="9" t="n">
        <v>45</v>
      </c>
      <c r="L32" s="9" t="n">
        <v>23</v>
      </c>
    </row>
    <row r="33" customFormat="false" ht="15" hidden="false" customHeight="false" outlineLevel="0" collapsed="false">
      <c r="A33" s="10" t="n">
        <v>10</v>
      </c>
      <c r="B33" s="10" t="n">
        <v>3</v>
      </c>
      <c r="C33" s="10" t="n">
        <v>84</v>
      </c>
      <c r="D33" s="10" t="n">
        <v>1.519</v>
      </c>
      <c r="E33" s="10" t="n">
        <v>2.494</v>
      </c>
      <c r="F33" s="10" t="n">
        <v>4.013</v>
      </c>
      <c r="G33" s="10" t="n">
        <v>26</v>
      </c>
      <c r="H33" s="10" t="n">
        <v>24</v>
      </c>
      <c r="I33" s="10" t="n">
        <v>13</v>
      </c>
      <c r="J33" s="10" t="n">
        <v>21</v>
      </c>
      <c r="K33" s="10" t="n">
        <v>65</v>
      </c>
      <c r="L33" s="10" t="n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5"/>
  </cols>
  <sheetData>
    <row r="1" customFormat="false" ht="17.35" hidden="false" customHeight="false" outlineLevel="0" collapsed="false">
      <c r="A1" s="1" t="s">
        <v>33</v>
      </c>
    </row>
    <row r="3" customFormat="false" ht="26.85" hidden="false" customHeight="fals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8</v>
      </c>
      <c r="H3" s="3" t="s">
        <v>9</v>
      </c>
      <c r="I3" s="3" t="s">
        <v>10</v>
      </c>
      <c r="J3" s="3" t="s">
        <v>31</v>
      </c>
      <c r="K3" s="3" t="s">
        <v>32</v>
      </c>
    </row>
    <row r="4" customFormat="false" ht="15" hidden="false" customHeight="false" outlineLevel="0" collapsed="false">
      <c r="A4" s="10" t="n">
        <v>1</v>
      </c>
      <c r="B4" s="10" t="n">
        <v>85.4</v>
      </c>
      <c r="C4" s="10" t="n">
        <v>3.131</v>
      </c>
      <c r="D4" s="10" t="n">
        <v>2.94</v>
      </c>
      <c r="E4" s="10" t="n">
        <v>6.071</v>
      </c>
      <c r="F4" s="10" t="n">
        <v>17.9</v>
      </c>
      <c r="G4" s="10" t="n">
        <v>31.1</v>
      </c>
      <c r="H4" s="10" t="n">
        <v>17.6</v>
      </c>
      <c r="I4" s="10" t="n">
        <v>18.8</v>
      </c>
      <c r="J4" s="10" t="n">
        <v>60.2</v>
      </c>
      <c r="K4" s="10" t="n">
        <v>25.2</v>
      </c>
    </row>
    <row r="5" customFormat="false" ht="15" hidden="false" customHeight="false" outlineLevel="0" collapsed="false">
      <c r="A5" s="10" t="n">
        <v>2</v>
      </c>
      <c r="B5" s="10" t="n">
        <v>81.5</v>
      </c>
      <c r="C5" s="10" t="n">
        <v>5.933</v>
      </c>
      <c r="D5" s="10" t="n">
        <v>3.326</v>
      </c>
      <c r="E5" s="10" t="n">
        <v>9.259</v>
      </c>
      <c r="F5" s="10" t="n">
        <v>16.6</v>
      </c>
      <c r="G5" s="10" t="n">
        <v>26.5</v>
      </c>
      <c r="H5" s="10" t="n">
        <v>16.9</v>
      </c>
      <c r="I5" s="10" t="n">
        <v>21.5</v>
      </c>
      <c r="J5" s="10" t="n">
        <v>55.7</v>
      </c>
      <c r="K5" s="10" t="n">
        <v>25.8</v>
      </c>
    </row>
    <row r="6" customFormat="false" ht="15" hidden="false" customHeight="false" outlineLevel="0" collapsed="false">
      <c r="A6" s="10" t="n">
        <v>3</v>
      </c>
      <c r="B6" s="10" t="n">
        <v>80</v>
      </c>
      <c r="C6" s="10" t="n">
        <v>4.983</v>
      </c>
      <c r="D6" s="10" t="n">
        <v>3.384</v>
      </c>
      <c r="E6" s="10" t="n">
        <v>8.367</v>
      </c>
      <c r="F6" s="10" t="n">
        <v>14.1</v>
      </c>
      <c r="G6" s="10" t="n">
        <v>28.6</v>
      </c>
      <c r="H6" s="10" t="n">
        <v>17.6</v>
      </c>
      <c r="I6" s="10" t="n">
        <v>19.7</v>
      </c>
      <c r="J6" s="10" t="n">
        <v>57.3</v>
      </c>
      <c r="K6" s="10" t="n">
        <v>22.7</v>
      </c>
    </row>
    <row r="8" customFormat="false" ht="15" hidden="false" customHeight="false" outlineLevel="0" collapsed="false">
      <c r="A8" s="11" t="s">
        <v>34</v>
      </c>
    </row>
    <row r="9" customFormat="false" ht="15" hidden="false" customHeight="false" outlineLevel="0" collapsed="false">
      <c r="A9" s="1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3"/>
  </cols>
  <sheetData>
    <row r="1" customFormat="false" ht="17.35" hidden="false" customHeight="false" outlineLevel="0" collapsed="false">
      <c r="A1" s="1" t="s">
        <v>36</v>
      </c>
    </row>
    <row r="3" customFormat="false" ht="15" hidden="false" customHeight="false" outlineLevel="0" collapsed="false">
      <c r="A3" s="3" t="s">
        <v>24</v>
      </c>
      <c r="B3" s="3" t="s">
        <v>30</v>
      </c>
      <c r="C3" s="3" t="s">
        <v>8</v>
      </c>
      <c r="D3" s="3" t="s">
        <v>9</v>
      </c>
      <c r="E3" s="3" t="s">
        <v>10</v>
      </c>
      <c r="F3" s="3" t="s">
        <v>37</v>
      </c>
    </row>
    <row r="4" customFormat="false" ht="15" hidden="false" customHeight="false" outlineLevel="0" collapsed="false">
      <c r="A4" s="13" t="n">
        <v>1</v>
      </c>
      <c r="B4" s="13" t="n">
        <v>55</v>
      </c>
      <c r="C4" s="13" t="n">
        <v>87</v>
      </c>
      <c r="D4" s="13" t="n">
        <v>58</v>
      </c>
      <c r="E4" s="13" t="n">
        <v>65</v>
      </c>
      <c r="F4" s="5" t="n">
        <f aca="false">SUM(B4:E4)</f>
        <v>265</v>
      </c>
    </row>
    <row r="5" customFormat="false" ht="15" hidden="false" customHeight="false" outlineLevel="0" collapsed="false">
      <c r="A5" s="14" t="n">
        <v>2</v>
      </c>
      <c r="B5" s="14" t="n">
        <v>42</v>
      </c>
      <c r="C5" s="14" t="n">
        <v>98</v>
      </c>
      <c r="D5" s="14" t="n">
        <v>51</v>
      </c>
      <c r="E5" s="14" t="n">
        <v>49</v>
      </c>
      <c r="F5" s="5" t="n">
        <f aca="false">SUM(B5:E5)</f>
        <v>240</v>
      </c>
    </row>
    <row r="6" customFormat="false" ht="15" hidden="false" customHeight="false" outlineLevel="0" collapsed="false">
      <c r="A6" s="13" t="n">
        <v>3</v>
      </c>
      <c r="B6" s="13" t="n">
        <v>54</v>
      </c>
      <c r="C6" s="13" t="n">
        <v>84</v>
      </c>
      <c r="D6" s="13" t="n">
        <v>37</v>
      </c>
      <c r="E6" s="13" t="n">
        <v>76</v>
      </c>
      <c r="F6" s="5" t="n">
        <f aca="false">SUM(B6:E6)</f>
        <v>251</v>
      </c>
    </row>
    <row r="7" customFormat="false" ht="15" hidden="false" customHeight="false" outlineLevel="0" collapsed="false">
      <c r="A7" s="14" t="n">
        <v>4</v>
      </c>
      <c r="B7" s="14" t="n">
        <v>50</v>
      </c>
      <c r="C7" s="14" t="n">
        <v>77</v>
      </c>
      <c r="D7" s="14" t="n">
        <v>44</v>
      </c>
      <c r="E7" s="14" t="n">
        <v>61</v>
      </c>
      <c r="F7" s="5" t="n">
        <f aca="false">SUM(B7:E7)</f>
        <v>232</v>
      </c>
    </row>
    <row r="8" customFormat="false" ht="15" hidden="false" customHeight="false" outlineLevel="0" collapsed="false">
      <c r="A8" s="13" t="n">
        <v>5</v>
      </c>
      <c r="B8" s="13" t="n">
        <v>50</v>
      </c>
      <c r="C8" s="13" t="n">
        <v>93</v>
      </c>
      <c r="D8" s="13" t="n">
        <v>62</v>
      </c>
      <c r="E8" s="13" t="n">
        <v>60</v>
      </c>
      <c r="F8" s="5" t="n">
        <f aca="false">SUM(B8:E8)</f>
        <v>265</v>
      </c>
    </row>
    <row r="9" customFormat="false" ht="15" hidden="false" customHeight="false" outlineLevel="0" collapsed="false">
      <c r="A9" s="14" t="n">
        <v>6</v>
      </c>
      <c r="B9" s="14" t="n">
        <v>44</v>
      </c>
      <c r="C9" s="14" t="n">
        <v>74</v>
      </c>
      <c r="D9" s="14" t="n">
        <v>64</v>
      </c>
      <c r="E9" s="14" t="n">
        <v>61</v>
      </c>
      <c r="F9" s="5" t="n">
        <f aca="false">SUM(B9:E9)</f>
        <v>243</v>
      </c>
    </row>
    <row r="10" customFormat="false" ht="15" hidden="false" customHeight="false" outlineLevel="0" collapsed="false">
      <c r="A10" s="13" t="n">
        <v>7</v>
      </c>
      <c r="B10" s="13" t="n">
        <v>45</v>
      </c>
      <c r="C10" s="13" t="n">
        <v>86</v>
      </c>
      <c r="D10" s="13" t="n">
        <v>46</v>
      </c>
      <c r="E10" s="13" t="n">
        <v>56</v>
      </c>
      <c r="F10" s="5" t="n">
        <f aca="false">SUM(B10:E10)</f>
        <v>233</v>
      </c>
    </row>
    <row r="11" customFormat="false" ht="15" hidden="false" customHeight="false" outlineLevel="0" collapsed="false">
      <c r="A11" s="14" t="n">
        <v>8</v>
      </c>
      <c r="B11" s="14" t="n">
        <v>42</v>
      </c>
      <c r="C11" s="14" t="n">
        <v>91</v>
      </c>
      <c r="D11" s="14" t="n">
        <v>70</v>
      </c>
      <c r="E11" s="14" t="n">
        <v>60</v>
      </c>
      <c r="F11" s="5" t="n">
        <f aca="false">SUM(B11:E11)</f>
        <v>263</v>
      </c>
    </row>
    <row r="12" customFormat="false" ht="15" hidden="false" customHeight="false" outlineLevel="0" collapsed="false">
      <c r="A12" s="13" t="n">
        <v>9</v>
      </c>
      <c r="B12" s="13" t="n">
        <v>45</v>
      </c>
      <c r="C12" s="13" t="n">
        <v>90</v>
      </c>
      <c r="D12" s="13" t="n">
        <v>48</v>
      </c>
      <c r="E12" s="13" t="n">
        <v>57</v>
      </c>
      <c r="F12" s="5" t="n">
        <f aca="false">SUM(B12:E12)</f>
        <v>240</v>
      </c>
    </row>
    <row r="13" customFormat="false" ht="15" hidden="false" customHeight="false" outlineLevel="0" collapsed="false">
      <c r="A13" s="14" t="n">
        <v>10</v>
      </c>
      <c r="B13" s="14" t="n">
        <v>59</v>
      </c>
      <c r="C13" s="14" t="n">
        <v>82</v>
      </c>
      <c r="D13" s="14" t="n">
        <v>41</v>
      </c>
      <c r="E13" s="14" t="n">
        <v>55</v>
      </c>
      <c r="F13" s="5" t="n">
        <f aca="false">SUM(B13:E13)</f>
        <v>237</v>
      </c>
    </row>
    <row r="14" customFormat="false" ht="15" hidden="false" customHeight="false" outlineLevel="0" collapsed="false">
      <c r="A14" s="15" t="s">
        <v>38</v>
      </c>
      <c r="B14" s="16" t="n">
        <f aca="false">SUM(B4:B13)</f>
        <v>486</v>
      </c>
      <c r="C14" s="16" t="n">
        <f aca="false">SUM(C4:C13)</f>
        <v>862</v>
      </c>
      <c r="D14" s="16" t="n">
        <f aca="false">SUM(D4:D13)</f>
        <v>521</v>
      </c>
      <c r="E14" s="16" t="n">
        <f aca="false">SUM(E4:E13)</f>
        <v>600</v>
      </c>
      <c r="F14" s="16" t="n">
        <f aca="false">SUM(F4:F13)</f>
        <v>2469</v>
      </c>
    </row>
    <row r="15" customFormat="false" ht="15" hidden="false" customHeight="false" outlineLevel="0" collapsed="false">
      <c r="A15" s="15" t="s">
        <v>39</v>
      </c>
      <c r="B15" s="17" t="n">
        <f aca="false">AVERAGE(B4:B13)</f>
        <v>48.6</v>
      </c>
      <c r="C15" s="17" t="n">
        <f aca="false">AVERAGE(C4:C13)</f>
        <v>86.2</v>
      </c>
      <c r="D15" s="17" t="n">
        <f aca="false">AVERAGE(D4:D13)</f>
        <v>52.1</v>
      </c>
      <c r="E15" s="17" t="n">
        <f aca="false">AVERAGE(E4:E13)</f>
        <v>60</v>
      </c>
    </row>
    <row r="17" customFormat="false" ht="15" hidden="false" customHeight="false" outlineLevel="0" collapsed="false">
      <c r="A17" s="1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41</v>
      </c>
    </row>
    <row r="3" customFormat="false" ht="15" hidden="false" customHeight="false" outlineLevel="0" collapsed="false">
      <c r="A3" s="2" t="s">
        <v>42</v>
      </c>
    </row>
    <row r="4" customFormat="false" ht="15" hidden="false" customHeight="false" outlineLevel="0" collapsed="false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</row>
    <row r="5" customFormat="false" ht="15" hidden="false" customHeight="false" outlineLevel="0" collapsed="false">
      <c r="A5" s="18" t="s">
        <v>48</v>
      </c>
      <c r="B5" s="14" t="n">
        <v>0.1691</v>
      </c>
      <c r="C5" s="14" t="n">
        <v>0.541</v>
      </c>
      <c r="D5" s="14" t="n">
        <v>3.767</v>
      </c>
      <c r="E5" s="14" t="n">
        <v>6.965</v>
      </c>
    </row>
    <row r="6" customFormat="false" ht="15" hidden="false" customHeight="false" outlineLevel="0" collapsed="false">
      <c r="A6" s="18" t="s">
        <v>49</v>
      </c>
      <c r="B6" s="14" t="n">
        <v>0.1268</v>
      </c>
      <c r="C6" s="14" t="n">
        <v>0.406</v>
      </c>
      <c r="D6" s="14" t="n">
        <v>2.182</v>
      </c>
      <c r="E6" s="14" t="n">
        <v>5.38</v>
      </c>
    </row>
    <row r="8" customFormat="false" ht="15" hidden="false" customHeight="true" outlineLevel="0" collapsed="false">
      <c r="A8" s="19" t="s">
        <v>50</v>
      </c>
      <c r="B8" s="19"/>
      <c r="C8" s="19"/>
      <c r="D8" s="19"/>
      <c r="E8" s="19"/>
    </row>
    <row r="9" customFormat="false" ht="15" hidden="false" customHeight="false" outlineLevel="0" collapsed="false">
      <c r="A9" s="19"/>
      <c r="B9" s="19"/>
      <c r="C9" s="19"/>
      <c r="D9" s="19"/>
      <c r="E9" s="19"/>
    </row>
    <row r="11" customFormat="false" ht="15" hidden="false" customHeight="false" outlineLevel="0" collapsed="false">
      <c r="A11" s="2" t="s">
        <v>51</v>
      </c>
    </row>
    <row r="12" customFormat="false" ht="15" hidden="false" customHeight="false" outlineLevel="0" collapsed="false">
      <c r="A12" s="3" t="s">
        <v>52</v>
      </c>
      <c r="B12" s="3" t="s">
        <v>53</v>
      </c>
      <c r="C12" s="3" t="s">
        <v>54</v>
      </c>
      <c r="D12" s="3" t="s">
        <v>55</v>
      </c>
      <c r="E12" s="3" t="s">
        <v>56</v>
      </c>
    </row>
    <row r="13" customFormat="false" ht="15" hidden="false" customHeight="false" outlineLevel="0" collapsed="false">
      <c r="A13" s="18" t="s">
        <v>57</v>
      </c>
      <c r="B13" s="20" t="n">
        <v>1.89</v>
      </c>
      <c r="C13" s="20" t="n">
        <v>4.22</v>
      </c>
      <c r="D13" s="20" t="n">
        <v>12.8</v>
      </c>
      <c r="E13" s="20" t="n">
        <v>17.64</v>
      </c>
    </row>
    <row r="14" customFormat="false" ht="15" hidden="false" customHeight="false" outlineLevel="0" collapsed="false">
      <c r="A14" s="18" t="s">
        <v>58</v>
      </c>
      <c r="B14" s="20" t="n">
        <v>8.36</v>
      </c>
      <c r="C14" s="20" t="n">
        <v>10.78</v>
      </c>
      <c r="D14" s="20" t="n">
        <v>2.47</v>
      </c>
      <c r="E14" s="20" t="n">
        <v>7.42</v>
      </c>
    </row>
    <row r="16" customFormat="false" ht="15" hidden="false" customHeight="true" outlineLevel="0" collapsed="false">
      <c r="A16" s="21" t="s">
        <v>59</v>
      </c>
      <c r="B16" s="21"/>
      <c r="C16" s="21"/>
      <c r="D16" s="21"/>
      <c r="E16" s="21"/>
    </row>
    <row r="17" customFormat="false" ht="15" hidden="false" customHeight="false" outlineLevel="0" collapsed="false">
      <c r="A17" s="21"/>
      <c r="B17" s="21"/>
      <c r="C17" s="21"/>
      <c r="D17" s="21"/>
      <c r="E17" s="21"/>
    </row>
    <row r="18" customFormat="false" ht="15" hidden="false" customHeight="false" outlineLevel="0" collapsed="false">
      <c r="A18" s="21"/>
      <c r="B18" s="21"/>
      <c r="C18" s="21"/>
      <c r="D18" s="21"/>
      <c r="E18" s="21"/>
    </row>
  </sheetData>
  <mergeCells count="2">
    <mergeCell ref="A8:E9"/>
    <mergeCell ref="A16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2026-06-04T05:52:28Z</dcterms:created>
  <dc:creator>openpyxl</dc:creator>
  <dc:description/>
  <dc:language>en-US</dc:language>
  <cp:lastModifiedBy/>
  <dcterms:modified xsi:type="dcterms:W3CDTF">2026-06-04T05:52:28Z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